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CO_3yr" sheetId="1" state="visible" r:id="rId3"/>
    <sheet name="Assumptions" sheetId="2" state="visible" r:id="rId4"/>
    <sheet name="Sensitivity" sheetId="3" state="visible" r:id="rId5"/>
    <sheet name="Value_ROI" sheetId="4" state="visible" r:id="rId6"/>
    <sheet name="Scoring" sheetId="5" state="visible" r:id="rId7"/>
    <sheet name="PoC_Measure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<sst xmlns="http://schemas.openxmlformats.org/spreadsheetml/2006/main" count="245" uniqueCount="209">
  <si>
    <t xml:space="preserve">3-Year Total Cost of Ownership – Snowflake vs Google BigQuery</t>
  </si>
  <si>
    <t xml:space="preserve">Same workload for both platforms. All values are formulas from the Assumptions sheet.</t>
  </si>
  <si>
    <t xml:space="preserve">Line item</t>
  </si>
  <si>
    <t xml:space="preserve">Year 1</t>
  </si>
  <si>
    <t xml:space="preserve">Year 2</t>
  </si>
  <si>
    <t xml:space="preserve">Year 3</t>
  </si>
  <si>
    <t xml:space="preserve">3-year total</t>
  </si>
  <si>
    <t xml:space="preserve">Chart data (3-yr)</t>
  </si>
  <si>
    <t xml:space="preserve">Workload</t>
  </si>
  <si>
    <t xml:space="preserve">Category</t>
  </si>
  <si>
    <t xml:space="preserve">Snowflake</t>
  </si>
  <si>
    <t xml:space="preserve">BigQuery</t>
  </si>
  <si>
    <t xml:space="preserve">Data volume (GB, compressed)</t>
  </si>
  <si>
    <t xml:space="preserve">Platform</t>
  </si>
  <si>
    <t xml:space="preserve">Snowflake compute scale (×)</t>
  </si>
  <si>
    <t xml:space="preserve">Migration + setup</t>
  </si>
  <si>
    <t xml:space="preserve">Training</t>
  </si>
  <si>
    <t xml:space="preserve">Snowflake – platform</t>
  </si>
  <si>
    <t xml:space="preserve">Admin</t>
  </si>
  <si>
    <t xml:space="preserve">Warehouse hours / month</t>
  </si>
  <si>
    <t xml:space="preserve">Credits / year</t>
  </si>
  <si>
    <t xml:space="preserve">Compute ($)</t>
  </si>
  <si>
    <t xml:space="preserve">Storage ($)</t>
  </si>
  <si>
    <t xml:space="preserve">Google Ads connector ($)</t>
  </si>
  <si>
    <t xml:space="preserve">Snowflake platform subtotal</t>
  </si>
  <si>
    <t xml:space="preserve">Snowflake – hidden costs (labor)</t>
  </si>
  <si>
    <t xml:space="preserve">Migration + setup ($)</t>
  </si>
  <si>
    <t xml:space="preserve">Training ($)</t>
  </si>
  <si>
    <t xml:space="preserve">Admin ($)</t>
  </si>
  <si>
    <t xml:space="preserve">SNOWFLAKE TOTAL</t>
  </si>
  <si>
    <t xml:space="preserve">Google BigQuery – platform</t>
  </si>
  <si>
    <t xml:space="preserve">Data scanned / month (TiB)</t>
  </si>
  <si>
    <t xml:space="preserve">Billable TiB / month (after free tier)</t>
  </si>
  <si>
    <t xml:space="preserve">BigQuery platform subtotal</t>
  </si>
  <si>
    <t xml:space="preserve">Google BigQuery – hidden costs (labor)</t>
  </si>
  <si>
    <t xml:space="preserve">BIGQUERY TOTAL</t>
  </si>
  <si>
    <t xml:space="preserve">Comparison</t>
  </si>
  <si>
    <t xml:space="preserve">Difference (Snowflake − BigQuery) ($)</t>
  </si>
  <si>
    <t xml:space="preserve">Difference as % of BigQuery 3-yr TCO</t>
  </si>
  <si>
    <t xml:space="preserve">Decision rule (Step 2): TCO gap under 20%?</t>
  </si>
  <si>
    <t xml:space="preserve">Within $150K Phase 1 budget?</t>
  </si>
  <si>
    <t xml:space="preserve">Labor share of Snowflake 3-yr TCO</t>
  </si>
  <si>
    <t xml:space="preserve">Labor share of BigQuery 3-yr TCO</t>
  </si>
  <si>
    <t xml:space="preserve">Assumptions – Build-A-Bear Phase 1 (marketing &amp; e-commerce analytics)</t>
  </si>
  <si>
    <t xml:space="preserve">Blue = input you can change · Yellow = key assumption · All other sheets are formulas</t>
  </si>
  <si>
    <t xml:space="preserve">Input</t>
  </si>
  <si>
    <t xml:space="preserve">Value</t>
  </si>
  <si>
    <t xml:space="preserve">Unit</t>
  </si>
  <si>
    <t xml:space="preserve">Source / rationale</t>
  </si>
  <si>
    <t xml:space="preserve">Shared workload</t>
  </si>
  <si>
    <t xml:space="preserve">Analyst loaded hourly cost</t>
  </si>
  <si>
    <t xml:space="preserve">$/hour</t>
  </si>
  <si>
    <t xml:space="preserve">Assumption: ~$95K salary + 30% benefits ÷ 2,080 h. Verify vs BLS OOH (data analyst/scientist).</t>
  </si>
  <si>
    <t xml:space="preserve">Analysts using the platform</t>
  </si>
  <si>
    <t xml:space="preserve">people</t>
  </si>
  <si>
    <t xml:space="preserve">Business scenario (Step 2)</t>
  </si>
  <si>
    <t xml:space="preserve">Data volume, year 1 (compressed)</t>
  </si>
  <si>
    <t xml:space="preserve">GB</t>
  </si>
  <si>
    <t xml:space="preserve">Assumption: PoC = 19 MB for one small store; scaled for 2 e-commerce sites + ad data</t>
  </si>
  <si>
    <t xml:space="preserve">Annual data growth</t>
  </si>
  <si>
    <t xml:space="preserve">%/yr</t>
  </si>
  <si>
    <t xml:space="preserve">PoC data: sessions 62k → 113k → 233k per year (≈ +50–100%)</t>
  </si>
  <si>
    <t xml:space="preserve">Dashboard refreshes per month</t>
  </si>
  <si>
    <t xml:space="preserve">runs</t>
  </si>
  <si>
    <t xml:space="preserve">Hourly, 12 h/day × 30 days (Step 2)</t>
  </si>
  <si>
    <t xml:space="preserve">Ad-hoc queries per month</t>
  </si>
  <si>
    <t xml:space="preserve">queries</t>
  </si>
  <si>
    <t xml:space="preserve">Data loads (ETL) per month</t>
  </si>
  <si>
    <t xml:space="preserve">loads</t>
  </si>
  <si>
    <t xml:space="preserve">One daily load</t>
  </si>
  <si>
    <t xml:space="preserve">Price per credit (Enterprise, AWS US East)</t>
  </si>
  <si>
    <t xml:space="preserve">$/credit</t>
  </si>
  <si>
    <t xml:space="preserve">Published pricing guides (Redress, Espresso AI) – verify snowflake.com/pricing</t>
  </si>
  <si>
    <t xml:space="preserve">Credits per hour – X-Small warehouse</t>
  </si>
  <si>
    <t xml:space="preserve">credits/h</t>
  </si>
  <si>
    <t xml:space="preserve">Snowflake warehouse sizing; PoC used X-Small</t>
  </si>
  <si>
    <t xml:space="preserve">Dashboard query runtime per refresh</t>
  </si>
  <si>
    <t xml:space="preserve">min</t>
  </si>
  <si>
    <t xml:space="preserve">PoC: channel query 1.33 s on 19 MB; allow ~1 min at production size</t>
  </si>
  <si>
    <t xml:space="preserve">Auto-suspend after idle</t>
  </si>
  <si>
    <t xml:space="preserve">PoC setting FUZZY_WH AUTO_SUSPEND = 60 s</t>
  </si>
  <si>
    <t xml:space="preserve">Billable minutes per ad-hoc query</t>
  </si>
  <si>
    <t xml:space="preserve">Assumption incl. idle time before suspend</t>
  </si>
  <si>
    <t xml:space="preserve">Minutes per daily data load</t>
  </si>
  <si>
    <t xml:space="preserve">Assumption</t>
  </si>
  <si>
    <t xml:space="preserve">Compute-hours growth as share of data growth</t>
  </si>
  <si>
    <t xml:space="preserve">×</t>
  </si>
  <si>
    <t xml:space="preserve">Assumption: pruning + result cache → runtime grows slower than data</t>
  </si>
  <si>
    <t xml:space="preserve">Storage price</t>
  </si>
  <si>
    <t xml:space="preserve">$/TB/month</t>
  </si>
  <si>
    <t xml:space="preserve">On-demand rate in pricing guides (≈$23 with capacity contract)</t>
  </si>
  <si>
    <t xml:space="preserve">Google Ads connector</t>
  </si>
  <si>
    <t xml:space="preserve">$/month</t>
  </si>
  <si>
    <t xml:space="preserve">Third-party connector, e.g. Windsor.ai starter tier</t>
  </si>
  <si>
    <t xml:space="preserve">Platform setup (production)</t>
  </si>
  <si>
    <t xml:space="preserve">hours</t>
  </si>
  <si>
    <t xml:space="preserve">PoC setup took ~2.5 h incl. troubleshooting (26-Oct); ×3 for production</t>
  </si>
  <si>
    <t xml:space="preserve">Training per analyst</t>
  </si>
  <si>
    <t xml:space="preserve">Free Snowflake Quickstarts; SQL skills transfer directly</t>
  </si>
  <si>
    <t xml:space="preserve">Admin per month</t>
  </si>
  <si>
    <t xml:space="preserve">Users/roles, resource monitors, warehouse settings</t>
  </si>
  <si>
    <t xml:space="preserve">Google BigQuery</t>
  </si>
  <si>
    <t xml:space="preserve">On-demand query price</t>
  </si>
  <si>
    <t xml:space="preserve">$/TiB scanned</t>
  </si>
  <si>
    <t xml:space="preserve">cloud.google.com/bigquery/pricing (official)</t>
  </si>
  <si>
    <t xml:space="preserve">Free query allowance</t>
  </si>
  <si>
    <t xml:space="preserve">TiB/month</t>
  </si>
  <si>
    <t xml:space="preserve">Data scanned per dashboard refresh</t>
  </si>
  <si>
    <t xml:space="preserve">% of data</t>
  </si>
  <si>
    <t xml:space="preserve">Assumption: partitioned + clustered tables, few columns</t>
  </si>
  <si>
    <t xml:space="preserve">Data scanned per ad-hoc query</t>
  </si>
  <si>
    <t xml:space="preserve">Storage price (active)</t>
  </si>
  <si>
    <t xml:space="preserve">$/GB/month</t>
  </si>
  <si>
    <t xml:space="preserve">Pricing guides (Revefi, Airbyte) – verify Google page</t>
  </si>
  <si>
    <t xml:space="preserve">Free storage</t>
  </si>
  <si>
    <t xml:space="preserve">GB/month</t>
  </si>
  <si>
    <t xml:space="preserve">Pricing guide (Portable) – verify</t>
  </si>
  <si>
    <t xml:space="preserve">Google Ads connector (Data Transfer Service)</t>
  </si>
  <si>
    <t xml:space="preserve">Reported free; storage/query billed (verify DTS pricing)</t>
  </si>
  <si>
    <t xml:space="preserve">Assumption: GCP project, billing, IAM, Data Transfer config</t>
  </si>
  <si>
    <t xml:space="preserve">Assumption: SQL + GCP IAM + scan-cost discipline (partitioning)</t>
  </si>
  <si>
    <t xml:space="preserve">IAM, quotas / max-bytes-billed, cost monitoring</t>
  </si>
  <si>
    <t xml:space="preserve">Both platforms</t>
  </si>
  <si>
    <t xml:space="preserve">Report &amp; data migration effort</t>
  </si>
  <si>
    <t xml:space="preserve">Assumption: rebuild 6 tables + channel ROI reports + testing</t>
  </si>
  <si>
    <t xml:space="preserve">Phase 1 budget (3 years)</t>
  </si>
  <si>
    <t xml:space="preserve">$</t>
  </si>
  <si>
    <t xml:space="preserve">Value (same for both platforms)</t>
  </si>
  <si>
    <t xml:space="preserve">Reporting hours saved per analyst per week</t>
  </si>
  <si>
    <t xml:space="preserve">Success criterion: −80% reporting time ≈ 1 day/week</t>
  </si>
  <si>
    <t xml:space="preserve">Working weeks per year</t>
  </si>
  <si>
    <t xml:space="preserve">weeks</t>
  </si>
  <si>
    <t xml:space="preserve">Direct-to-consumer revenue FY2026</t>
  </si>
  <si>
    <t xml:space="preserve">Build-A-Bear 10-K FY2026 (via PitchBook)</t>
  </si>
  <si>
    <t xml:space="preserve">Revenue uplift from better channel allocation</t>
  </si>
  <si>
    <t xml:space="preserve">% of DTC</t>
  </si>
  <si>
    <t xml:space="preserve">Conservative assumption (0.02%); PoC shows 3.2% vs 8.9% channel conversion</t>
  </si>
  <si>
    <t xml:space="preserve">Sensitivity – what happens when cost controls are ignored? (Year 1 platform cost)</t>
  </si>
  <si>
    <t xml:space="preserve">Each platform has one cost risk that customers complain about in reviews. Year 1 data volume.</t>
  </si>
  <si>
    <t xml:space="preserve">Scenario</t>
  </si>
  <si>
    <t xml:space="preserve">Setting</t>
  </si>
  <si>
    <t xml:space="preserve">Snowflake Y1 platform ($)</t>
  </si>
  <si>
    <t xml:space="preserve">BigQuery Y1 platform ($)</t>
  </si>
  <si>
    <t xml:space="preserve">Careless input</t>
  </si>
  <si>
    <t xml:space="preserve">Base (disciplined)</t>
  </si>
  <si>
    <t xml:space="preserve">Auto-suspend 1 min · partitioned tables</t>
  </si>
  <si>
    <t xml:space="preserve">Snowflake auto-suspend (min)</t>
  </si>
  <si>
    <t xml:space="preserve">Careless</t>
  </si>
  <si>
    <t xml:space="preserve">Auto-suspend 10 min · SELECT * full scans</t>
  </si>
  <si>
    <t xml:space="preserve">BigQuery scan share per query</t>
  </si>
  <si>
    <t xml:space="preserve">Cost multiplier (careless ÷ base)</t>
  </si>
  <si>
    <t xml:space="preserve">Control that prevents it</t>
  </si>
  <si>
    <t xml:space="preserve">Auto-suspend + resource monitors (credit quota)</t>
  </si>
  <si>
    <t xml:space="preserve">Max-bytes-billed + custom quotas + partitioning</t>
  </si>
  <si>
    <t xml:space="preserve">Lesson from my PoC</t>
  </si>
  <si>
    <t xml:space="preserve">91% of PoC credits came from the default COMPUTE_WH, not the 60-s auto-suspend FUZZY_WH</t>
  </si>
  <si>
    <t xml:space="preserve">Business value over 3 years (same for both platforms)</t>
  </si>
  <si>
    <t xml:space="preserve">Item</t>
  </si>
  <si>
    <t xml:space="preserve">Value ($)</t>
  </si>
  <si>
    <t xml:space="preserve">FTE reallocation per year (analyst hours saved)</t>
  </si>
  <si>
    <t xml:space="preserve">Revenue capture per year (better channel allocation)</t>
  </si>
  <si>
    <t xml:space="preserve">Total value per year</t>
  </si>
  <si>
    <t xml:space="preserve">Total value over 3 years</t>
  </si>
  <si>
    <t xml:space="preserve">3-year ROI – Snowflake</t>
  </si>
  <si>
    <t xml:space="preserve">3-year ROI – BigQuery</t>
  </si>
  <si>
    <t xml:space="preserve">Payback – Snowflake (months)</t>
  </si>
  <si>
    <t xml:space="preserve">Payback – BigQuery (months)</t>
  </si>
  <si>
    <t xml:space="preserve">Reading: the analytics project pays back fast on either platform – so the platform choice rests on TCO and the scoring matrix.</t>
  </si>
  <si>
    <t xml:space="preserve">Weighted scoring matrix (1 = poor … 5 = excellent)</t>
  </si>
  <si>
    <t xml:space="preserve">Criterion</t>
  </si>
  <si>
    <t xml:space="preserve">Weight</t>
  </si>
  <si>
    <t xml:space="preserve">Why this weight</t>
  </si>
  <si>
    <t xml:space="preserve">Evidence</t>
  </si>
  <si>
    <t xml:space="preserve">Pricing / 3-yr TCO</t>
  </si>
  <si>
    <t xml:space="preserve">Retailer under margin pressure (guidance cut Aug-2026)</t>
  </si>
  <si>
    <t xml:space="preserve">BigQuery 3-yr TCO lower (free tier, free Ads connector) – see TCO_3yr; gap under 20%</t>
  </si>
  <si>
    <t xml:space="preserve">Scalability</t>
  </si>
  <si>
    <t xml:space="preserve">Traffic doubling + holiday peaks</t>
  </si>
  <si>
    <t xml:space="preserve">Both fully managed &amp; elastic: Snowflake resizes/multi-cluster; BigQuery serverless</t>
  </si>
  <si>
    <t xml:space="preserve">Usability</t>
  </si>
  <si>
    <t xml:space="preserve">Small analytics team, no platform engineers</t>
  </si>
  <si>
    <t xml:space="preserve">PoC: data + users + MFA in ~2.5 h; roles simple. Gartner 4.7 vs 4.5; BigQuery needs GCP IAM</t>
  </si>
  <si>
    <t xml:space="preserve">Business fit</t>
  </si>
  <si>
    <t xml:space="preserve">Google Ads data + partners + U.S./Europe</t>
  </si>
  <si>
    <t xml:space="preserve">BQ: native Google Ads/GA4. SF: multi-cloud, no lock-in, secure sharing with agencies/licensing partners</t>
  </si>
  <si>
    <t xml:space="preserve">Weighted total</t>
  </si>
  <si>
    <t xml:space="preserve">Non-cost criteria only (rule applies when TCO gap &lt; 20%)</t>
  </si>
  <si>
    <t xml:space="preserve">Decision</t>
  </si>
  <si>
    <t xml:space="preserve">Measured in my Snowflake trial (26-Oct-2026, account JDKUHSR-QK22783)</t>
  </si>
  <si>
    <t xml:space="preserve">Source</t>
  </si>
  <si>
    <t xml:space="preserve">Rows loaded (6 tables)</t>
  </si>
  <si>
    <t xml:space="preserve">Row-count check after COPY INTO</t>
  </si>
  <si>
    <t xml:space="preserve">Raw CSV size (MB)</t>
  </si>
  <si>
    <t xml:space="preserve">File sizes on disk</t>
  </si>
  <si>
    <t xml:space="preserve">Stored size in Snowflake (MB)</t>
  </si>
  <si>
    <t xml:space="preserve">INFORMATION_SCHEMA.TABLES bytes</t>
  </si>
  <si>
    <t xml:space="preserve">Credits – FUZZY_WH</t>
  </si>
  <si>
    <t xml:space="preserve">WAREHOUSE_METERING_HISTORY</t>
  </si>
  <si>
    <t xml:space="preserve">Credits – COMPUTE_WH (default)</t>
  </si>
  <si>
    <t xml:space="preserve">Credits – cloud services</t>
  </si>
  <si>
    <t xml:space="preserve">Submission query runtime (s), EXT_TEST_USER</t>
  </si>
  <si>
    <t xml:space="preserve">ACCOUNT_USAGE.QUERY_HISTORY</t>
  </si>
  <si>
    <t xml:space="preserve">Submission query data scanned (MB)</t>
  </si>
  <si>
    <t xml:space="preserve">Setup time incl. troubleshooting (h, approx.)</t>
  </si>
  <si>
    <t xml:space="preserve">Screenshot timestamps 10:39–13:00 – confirm</t>
  </si>
  <si>
    <t xml:space="preserve">Total credits</t>
  </si>
  <si>
    <t xml:space="preserve">PoC compute cost ($)</t>
  </si>
  <si>
    <t xml:space="preserve">Compression ratio</t>
  </si>
  <si>
    <t xml:space="preserve">Share of credits from default COMPUTE_WH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</si>
</sst>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;\(#,##0.0\);\-"/>
    <numFmt numFmtId="166" formatCode="\$#,##0;&quot;($&quot;#,##0\);\-"/>
    <numFmt numFmtId="167" formatCode="0.00\×"/>
    <numFmt numFmtId="168" formatCode="0.00"/>
    <numFmt numFmtId="169" formatCode="0.0%;\(0.0%\);\-"/>
    <numFmt numFmtId="170" formatCode="\$#,##0.00;&quot;($&quot;#,##0.00\);\-"/>
    <numFmt numFmtId="171" formatCode="0%"/>
    <numFmt numFmtId="172" formatCode="0.00%"/>
    <numFmt numFmtId="173" formatCode="0.0\×"/>
    <numFmt numFmtId="174" formatCode="0.0"/>
    <numFmt numFmtId="175" formatCode="#,##0"/>
    <numFmt numFmtId="176" formatCode="0.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sz val="11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3-year TCO: Snowflake vs BigQuery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TCO_3yr!G6</c:f>
              <c:strCache>
                <c:ptCount val="1"/>
                <c:pt idx="0">
                  <c:v>Platform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TCO_3yr!$H$5:$I$5</c:f>
              <c:strCache>
                <c:ptCount val="2"/>
                <c:pt idx="0">
                  <c:v>Snowflake</c:v>
                </c:pt>
                <c:pt idx="1">
                  <c:v>BigQuery</c:v>
                </c:pt>
              </c:strCache>
            </c:strRef>
          </c:cat>
          <c:val>
            <c:numRef>
              <c:f>TCO_3yr!$H$6:$I$6</c:f>
              <c:numCache>
                <c:formatCode>\$#,##0;"($"#,##0\);\-</c:formatCode>
                <c:ptCount val="2"/>
                <c:pt idx="0">
                  <c:v>4501.078125</c:v>
                </c:pt>
                <c:pt idx="1">
                  <c:v>1946.9923828125</c:v>
                </c:pt>
              </c:numCache>
            </c:numRef>
          </c:val>
        </c:ser>
        <c:ser>
          <c:idx val="1"/>
          <c:order val="1"/>
          <c:tx>
            <c:strRef>
              <c:f>TCO_3yr!G7</c:f>
              <c:strCache>
                <c:ptCount val="1"/>
                <c:pt idx="0">
                  <c:v>Migration + setup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TCO_3yr!$H$5:$I$5</c:f>
              <c:strCache>
                <c:ptCount val="2"/>
                <c:pt idx="0">
                  <c:v>Snowflake</c:v>
                </c:pt>
                <c:pt idx="1">
                  <c:v>BigQuery</c:v>
                </c:pt>
              </c:strCache>
            </c:strRef>
          </c:cat>
          <c:val>
            <c:numRef>
              <c:f>TCO_3yr!$H$7:$I$7</c:f>
              <c:numCache>
                <c:formatCode>\$#,##0;"($"#,##0\);\-</c:formatCode>
                <c:ptCount val="2"/>
                <c:pt idx="0">
                  <c:v>5280</c:v>
                </c:pt>
                <c:pt idx="1">
                  <c:v>5520</c:v>
                </c:pt>
              </c:numCache>
            </c:numRef>
          </c:val>
        </c:ser>
        <c:ser>
          <c:idx val="2"/>
          <c:order val="2"/>
          <c:tx>
            <c:strRef>
              <c:f>TCO_3yr!G8</c:f>
              <c:strCache>
                <c:ptCount val="1"/>
                <c:pt idx="0">
                  <c:v>Training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TCO_3yr!$H$5:$I$5</c:f>
              <c:strCache>
                <c:ptCount val="2"/>
                <c:pt idx="0">
                  <c:v>Snowflake</c:v>
                </c:pt>
                <c:pt idx="1">
                  <c:v>BigQuery</c:v>
                </c:pt>
              </c:strCache>
            </c:strRef>
          </c:cat>
          <c:val>
            <c:numRef>
              <c:f>TCO_3yr!$H$8:$I$8</c:f>
              <c:numCache>
                <c:formatCode>\$#,##0;"($"#,##0\);\-</c:formatCode>
                <c:ptCount val="2"/>
                <c:pt idx="0">
                  <c:v>1440</c:v>
                </c:pt>
                <c:pt idx="1">
                  <c:v>1800</c:v>
                </c:pt>
              </c:numCache>
            </c:numRef>
          </c:val>
        </c:ser>
        <c:ser>
          <c:idx val="3"/>
          <c:order val="3"/>
          <c:tx>
            <c:strRef>
              <c:f>TCO_3yr!G9</c:f>
              <c:strCache>
                <c:ptCount val="1"/>
                <c:pt idx="0">
                  <c:v>Admin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TCO_3yr!$H$5:$I$5</c:f>
              <c:strCache>
                <c:ptCount val="2"/>
                <c:pt idx="0">
                  <c:v>Snowflake</c:v>
                </c:pt>
                <c:pt idx="1">
                  <c:v>BigQuery</c:v>
                </c:pt>
              </c:strCache>
            </c:strRef>
          </c:cat>
          <c:val>
            <c:numRef>
              <c:f>TCO_3yr!$H$9:$I$9</c:f>
              <c:numCache>
                <c:formatCode>\$#,##0;"($"#,##0\);\-</c:formatCode>
                <c:ptCount val="2"/>
                <c:pt idx="0">
                  <c:v>8640</c:v>
                </c:pt>
                <c:pt idx="1">
                  <c:v>8640</c:v>
                </c:pt>
              </c:numCache>
            </c:numRef>
          </c:val>
        </c:ser>
        <c:gapWidth val="150"/>
        <c:overlap val="100"/>
        <c:axId val="41132593"/>
        <c:axId val="72533526"/>
      </c:barChart>
      <c:catAx>
        <c:axId val="411325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33526"/>
        <c:crosses val="autoZero"/>
        <c:auto val="1"/>
        <c:lblAlgn val="ctr"/>
        <c:lblOffset val="100"/>
        <c:noMultiLvlLbl val="0"/>
      </c:catAx>
      <c:valAx>
        <c:axId val="725335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1325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10</xdr:row>
      <xdr:rowOff>160560</xdr:rowOff>
    </xdr:from>
    <xdr:to>
      <xdr:col>15</xdr:col>
      <xdr:colOff>255960</xdr:colOff>
      <xdr:row>27</xdr:row>
      <xdr:rowOff>162000</xdr:rowOff>
    </xdr:to>
    <xdr:graphicFrame>
      <xdr:nvGraphicFramePr>
        <xdr:cNvPr id="0" name="Chart 1"/>
        <xdr:cNvGraphicFramePr/>
      </xdr:nvGraphicFramePr>
      <xdr:xfrm>
        <a:off x="8223840" y="2095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2"/>
      <c r="G4" s="5" t="s">
        <v>7</v>
      </c>
      <c r="H4" s="2"/>
      <c r="I4" s="2"/>
    </row>
    <row r="5" customFormat="false" ht="15" hidden="false" customHeight="false" outlineLevel="0" collapsed="false">
      <c r="A5" s="6" t="s">
        <v>8</v>
      </c>
      <c r="B5" s="7"/>
      <c r="C5" s="7"/>
      <c r="D5" s="7"/>
      <c r="E5" s="7"/>
      <c r="F5" s="2"/>
      <c r="G5" s="5" t="s">
        <v>9</v>
      </c>
      <c r="H5" s="5" t="s">
        <v>10</v>
      </c>
      <c r="I5" s="5" t="s">
        <v>11</v>
      </c>
    </row>
    <row r="6" customFormat="false" ht="15" hidden="false" customHeight="false" outlineLevel="0" collapsed="false">
      <c r="A6" s="8" t="s">
        <v>12</v>
      </c>
      <c r="B6" s="9" t="n">
        <f aca="false">Assumptions!$B$7</f>
        <v>50</v>
      </c>
      <c r="C6" s="9" t="n">
        <f aca="false">B6*(1+Assumptions!$B$8)</f>
        <v>75</v>
      </c>
      <c r="D6" s="9" t="n">
        <f aca="false">C6*(1+Assumptions!$B$8)</f>
        <v>112.5</v>
      </c>
      <c r="E6" s="2"/>
      <c r="F6" s="2"/>
      <c r="G6" s="2" t="s">
        <v>13</v>
      </c>
      <c r="H6" s="10" t="n">
        <f aca="false">E15</f>
        <v>4501.078125</v>
      </c>
      <c r="I6" s="10" t="n">
        <f aca="false">E29</f>
        <v>1946.9923828125</v>
      </c>
    </row>
    <row r="7" customFormat="false" ht="15" hidden="false" customHeight="false" outlineLevel="0" collapsed="false">
      <c r="A7" s="8" t="s">
        <v>14</v>
      </c>
      <c r="B7" s="11" t="n">
        <f aca="false">1</f>
        <v>1</v>
      </c>
      <c r="C7" s="11" t="n">
        <f aca="false">B7*(1+Assumptions!$B$8*Assumptions!$B$19)</f>
        <v>1.25</v>
      </c>
      <c r="D7" s="11" t="n">
        <f aca="false">C7*(1+Assumptions!$B$8*Assumptions!$B$19)</f>
        <v>1.5625</v>
      </c>
      <c r="E7" s="2"/>
      <c r="F7" s="2"/>
      <c r="G7" s="2" t="s">
        <v>15</v>
      </c>
      <c r="H7" s="10" t="n">
        <f aca="false">E18</f>
        <v>5280</v>
      </c>
      <c r="I7" s="10" t="n">
        <f aca="false">E32</f>
        <v>5520</v>
      </c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 t="s">
        <v>16</v>
      </c>
      <c r="H8" s="10" t="n">
        <f aca="false">E19</f>
        <v>1440</v>
      </c>
      <c r="I8" s="10" t="n">
        <f aca="false">E33</f>
        <v>1800</v>
      </c>
    </row>
    <row r="9" customFormat="false" ht="15" hidden="false" customHeight="false" outlineLevel="0" collapsed="false">
      <c r="A9" s="6" t="s">
        <v>17</v>
      </c>
      <c r="B9" s="7"/>
      <c r="C9" s="7"/>
      <c r="D9" s="7"/>
      <c r="E9" s="7"/>
      <c r="F9" s="2"/>
      <c r="G9" s="2" t="s">
        <v>18</v>
      </c>
      <c r="H9" s="10" t="n">
        <f aca="false">E20</f>
        <v>8640</v>
      </c>
      <c r="I9" s="10" t="n">
        <f aca="false">E34</f>
        <v>8640</v>
      </c>
    </row>
    <row r="10" customFormat="false" ht="15" hidden="false" customHeight="false" outlineLevel="0" collapsed="false">
      <c r="A10" s="8" t="s">
        <v>19</v>
      </c>
      <c r="B10" s="9" t="n">
        <f aca="false">((Assumptions!$B$9*(Assumptions!$B$15+Assumptions!$B$16))+(Assumptions!$B$10*Assumptions!$B$17)+(Assumptions!$B$11*Assumptions!$B$18))/60*B7</f>
        <v>27</v>
      </c>
      <c r="C10" s="9" t="n">
        <f aca="false">((Assumptions!$B$9*(Assumptions!$B$15+Assumptions!$B$16))+(Assumptions!$B$10*Assumptions!$B$17)+(Assumptions!$B$11*Assumptions!$B$18))/60*C7</f>
        <v>33.75</v>
      </c>
      <c r="D10" s="9" t="n">
        <f aca="false">((Assumptions!$B$9*(Assumptions!$B$15+Assumptions!$B$16))+(Assumptions!$B$10*Assumptions!$B$17)+(Assumptions!$B$11*Assumptions!$B$18))/60*D7</f>
        <v>42.1875</v>
      </c>
      <c r="E10" s="2"/>
      <c r="F10" s="2"/>
      <c r="G10" s="2"/>
      <c r="H10" s="2"/>
      <c r="I10" s="2"/>
    </row>
    <row r="11" customFormat="false" ht="15" hidden="false" customHeight="false" outlineLevel="0" collapsed="false">
      <c r="A11" s="8" t="s">
        <v>20</v>
      </c>
      <c r="B11" s="9" t="n">
        <f aca="false">B10*Assumptions!$B$14*12</f>
        <v>324</v>
      </c>
      <c r="C11" s="9" t="n">
        <f aca="false">C10*Assumptions!$B$14*12</f>
        <v>405</v>
      </c>
      <c r="D11" s="9" t="n">
        <f aca="false">D10*Assumptions!$B$14*12</f>
        <v>506.25</v>
      </c>
      <c r="E11" s="12" t="n">
        <f aca="false">SUM(B11:D11)</f>
        <v>1235.25</v>
      </c>
      <c r="F11" s="2"/>
      <c r="G11" s="2"/>
      <c r="H11" s="2"/>
      <c r="I11" s="2"/>
    </row>
    <row r="12" customFormat="false" ht="15" hidden="false" customHeight="false" outlineLevel="0" collapsed="false">
      <c r="A12" s="8" t="s">
        <v>21</v>
      </c>
      <c r="B12" s="13" t="n">
        <f aca="false">B11*Assumptions!$B$13</f>
        <v>972</v>
      </c>
      <c r="C12" s="13" t="n">
        <f aca="false">C11*Assumptions!$B$13</f>
        <v>1215</v>
      </c>
      <c r="D12" s="13" t="n">
        <f aca="false">D11*Assumptions!$B$13</f>
        <v>1518.75</v>
      </c>
      <c r="E12" s="14" t="n">
        <f aca="false">SUM(B12:D12)</f>
        <v>3705.75</v>
      </c>
      <c r="F12" s="2"/>
      <c r="G12" s="2"/>
      <c r="H12" s="2"/>
      <c r="I12" s="2"/>
    </row>
    <row r="13" customFormat="false" ht="15" hidden="false" customHeight="false" outlineLevel="0" collapsed="false">
      <c r="A13" s="8" t="s">
        <v>22</v>
      </c>
      <c r="B13" s="13" t="n">
        <f aca="false">B6/1024*Assumptions!$B$20*12</f>
        <v>23.4375</v>
      </c>
      <c r="C13" s="13" t="n">
        <f aca="false">C6/1024*Assumptions!$B$20*12</f>
        <v>35.15625</v>
      </c>
      <c r="D13" s="13" t="n">
        <f aca="false">D6/1024*Assumptions!$B$20*12</f>
        <v>52.734375</v>
      </c>
      <c r="E13" s="14" t="n">
        <f aca="false">SUM(B13:D13)</f>
        <v>111.328125</v>
      </c>
      <c r="F13" s="2"/>
      <c r="G13" s="2"/>
      <c r="H13" s="2"/>
      <c r="I13" s="2"/>
    </row>
    <row r="14" customFormat="false" ht="15" hidden="false" customHeight="false" outlineLevel="0" collapsed="false">
      <c r="A14" s="8" t="s">
        <v>23</v>
      </c>
      <c r="B14" s="13" t="n">
        <f aca="false">Assumptions!$B$21*12</f>
        <v>228</v>
      </c>
      <c r="C14" s="13" t="n">
        <f aca="false">Assumptions!$B$21*12</f>
        <v>228</v>
      </c>
      <c r="D14" s="13" t="n">
        <f aca="false">Assumptions!$B$21*12</f>
        <v>228</v>
      </c>
      <c r="E14" s="14" t="n">
        <f aca="false">SUM(B14:D14)</f>
        <v>684</v>
      </c>
      <c r="F14" s="2"/>
      <c r="G14" s="2"/>
      <c r="H14" s="2"/>
      <c r="I14" s="2"/>
    </row>
    <row r="15" customFormat="false" ht="15" hidden="false" customHeight="false" outlineLevel="0" collapsed="false">
      <c r="A15" s="5" t="s">
        <v>24</v>
      </c>
      <c r="B15" s="14" t="n">
        <f aca="false">SUM(B12:B14)</f>
        <v>1223.4375</v>
      </c>
      <c r="C15" s="14" t="n">
        <f aca="false">SUM(C12:C14)</f>
        <v>1478.15625</v>
      </c>
      <c r="D15" s="14" t="n">
        <f aca="false">SUM(D12:D14)</f>
        <v>1799.484375</v>
      </c>
      <c r="E15" s="14" t="n">
        <f aca="false">SUM(B15:D15)</f>
        <v>4501.078125</v>
      </c>
      <c r="F15" s="2"/>
      <c r="G15" s="2"/>
      <c r="H15" s="2"/>
      <c r="I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</row>
    <row r="17" customFormat="false" ht="15" hidden="false" customHeight="false" outlineLevel="0" collapsed="false">
      <c r="A17" s="6" t="s">
        <v>25</v>
      </c>
      <c r="B17" s="7"/>
      <c r="C17" s="7"/>
      <c r="D17" s="7"/>
      <c r="E17" s="7"/>
      <c r="F17" s="2"/>
      <c r="G17" s="2"/>
      <c r="H17" s="2"/>
      <c r="I17" s="2"/>
    </row>
    <row r="18" customFormat="false" ht="15" hidden="false" customHeight="false" outlineLevel="0" collapsed="false">
      <c r="A18" s="8" t="s">
        <v>26</v>
      </c>
      <c r="B18" s="13" t="n">
        <f aca="false">(Assumptions!$B$37+Assumptions!$B$22)*Assumptions!$B$5</f>
        <v>5280</v>
      </c>
      <c r="C18" s="13" t="n">
        <f aca="false">0</f>
        <v>0</v>
      </c>
      <c r="D18" s="13" t="n">
        <f aca="false">0</f>
        <v>0</v>
      </c>
      <c r="E18" s="14" t="n">
        <f aca="false">SUM(B18:D18)</f>
        <v>5280</v>
      </c>
      <c r="F18" s="2"/>
      <c r="G18" s="2"/>
      <c r="H18" s="2"/>
      <c r="I18" s="2"/>
    </row>
    <row r="19" customFormat="false" ht="15" hidden="false" customHeight="false" outlineLevel="0" collapsed="false">
      <c r="A19" s="8" t="s">
        <v>27</v>
      </c>
      <c r="B19" s="13" t="n">
        <f aca="false">Assumptions!$B$6*Assumptions!$B$23*Assumptions!$B$5</f>
        <v>1440</v>
      </c>
      <c r="C19" s="13" t="n">
        <f aca="false">0</f>
        <v>0</v>
      </c>
      <c r="D19" s="13" t="n">
        <f aca="false">0</f>
        <v>0</v>
      </c>
      <c r="E19" s="14" t="n">
        <f aca="false">SUM(B19:D19)</f>
        <v>1440</v>
      </c>
      <c r="F19" s="2"/>
      <c r="G19" s="2"/>
      <c r="H19" s="2"/>
      <c r="I19" s="2"/>
    </row>
    <row r="20" customFormat="false" ht="15" hidden="false" customHeight="false" outlineLevel="0" collapsed="false">
      <c r="A20" s="8" t="s">
        <v>28</v>
      </c>
      <c r="B20" s="13" t="n">
        <f aca="false">Assumptions!$B$24*12*Assumptions!$B$5</f>
        <v>2880</v>
      </c>
      <c r="C20" s="13" t="n">
        <f aca="false">Assumptions!$B$24*12*Assumptions!$B$5</f>
        <v>2880</v>
      </c>
      <c r="D20" s="13" t="n">
        <f aca="false">Assumptions!$B$24*12*Assumptions!$B$5</f>
        <v>2880</v>
      </c>
      <c r="E20" s="14" t="n">
        <f aca="false">SUM(B20:D20)</f>
        <v>8640</v>
      </c>
      <c r="F20" s="2"/>
      <c r="G20" s="2"/>
      <c r="H20" s="2"/>
      <c r="I20" s="2"/>
    </row>
    <row r="21" customFormat="false" ht="15" hidden="false" customHeight="false" outlineLevel="0" collapsed="false">
      <c r="A21" s="15" t="s">
        <v>29</v>
      </c>
      <c r="B21" s="16" t="n">
        <f aca="false">B15+SUM(B18:B20)</f>
        <v>10823.4375</v>
      </c>
      <c r="C21" s="16" t="n">
        <f aca="false">C15+SUM(C18:C20)</f>
        <v>4358.15625</v>
      </c>
      <c r="D21" s="16" t="n">
        <f aca="false">D15+SUM(D18:D20)</f>
        <v>4679.484375</v>
      </c>
      <c r="E21" s="16" t="n">
        <f aca="false">SUM(B21:D21)</f>
        <v>19861.078125</v>
      </c>
      <c r="F21" s="2"/>
      <c r="G21" s="2"/>
      <c r="H21" s="2"/>
      <c r="I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</row>
    <row r="23" customFormat="false" ht="15" hidden="false" customHeight="false" outlineLevel="0" collapsed="false">
      <c r="A23" s="6" t="s">
        <v>30</v>
      </c>
      <c r="B23" s="7"/>
      <c r="C23" s="7"/>
      <c r="D23" s="7"/>
      <c r="E23" s="7"/>
      <c r="F23" s="2"/>
      <c r="G23" s="2"/>
      <c r="H23" s="2"/>
      <c r="I23" s="2"/>
    </row>
    <row r="24" customFormat="false" ht="15" hidden="false" customHeight="false" outlineLevel="0" collapsed="false">
      <c r="A24" s="8" t="s">
        <v>31</v>
      </c>
      <c r="B24" s="17" t="n">
        <f aca="false">(Assumptions!$B$9*Assumptions!$B$28+Assumptions!$B$10*Assumptions!$B$29)*B6/1024</f>
        <v>5.95703125</v>
      </c>
      <c r="C24" s="17" t="n">
        <f aca="false">(Assumptions!$B$9*Assumptions!$B$28+Assumptions!$B$10*Assumptions!$B$29)*C6/1024</f>
        <v>8.935546875</v>
      </c>
      <c r="D24" s="17" t="n">
        <f aca="false">(Assumptions!$B$9*Assumptions!$B$28+Assumptions!$B$10*Assumptions!$B$29)*D6/1024</f>
        <v>13.4033203125</v>
      </c>
      <c r="E24" s="2"/>
      <c r="F24" s="2"/>
      <c r="G24" s="2"/>
      <c r="H24" s="2"/>
      <c r="I24" s="2"/>
    </row>
    <row r="25" customFormat="false" ht="15" hidden="false" customHeight="false" outlineLevel="0" collapsed="false">
      <c r="A25" s="8" t="s">
        <v>32</v>
      </c>
      <c r="B25" s="17" t="n">
        <f aca="false">MAX(0,B24-Assumptions!$B$27)</f>
        <v>4.95703125</v>
      </c>
      <c r="C25" s="17" t="n">
        <f aca="false">MAX(0,C24-Assumptions!$B$27)</f>
        <v>7.935546875</v>
      </c>
      <c r="D25" s="17" t="n">
        <f aca="false">MAX(0,D24-Assumptions!$B$27)</f>
        <v>12.4033203125</v>
      </c>
      <c r="E25" s="2"/>
      <c r="F25" s="2"/>
      <c r="G25" s="2"/>
      <c r="H25" s="2"/>
      <c r="I25" s="2"/>
    </row>
    <row r="26" customFormat="false" ht="15" hidden="false" customHeight="false" outlineLevel="0" collapsed="false">
      <c r="A26" s="8" t="s">
        <v>21</v>
      </c>
      <c r="B26" s="13" t="n">
        <f aca="false">B25*Assumptions!$B$26*12</f>
        <v>371.77734375</v>
      </c>
      <c r="C26" s="13" t="n">
        <f aca="false">C25*Assumptions!$B$26*12</f>
        <v>595.166015625</v>
      </c>
      <c r="D26" s="13" t="n">
        <f aca="false">D25*Assumptions!$B$26*12</f>
        <v>930.2490234375</v>
      </c>
      <c r="E26" s="14" t="n">
        <f aca="false">SUM(B26:D26)</f>
        <v>1897.1923828125</v>
      </c>
      <c r="F26" s="2"/>
      <c r="G26" s="2"/>
      <c r="H26" s="2"/>
      <c r="I26" s="2"/>
    </row>
    <row r="27" customFormat="false" ht="15" hidden="false" customHeight="false" outlineLevel="0" collapsed="false">
      <c r="A27" s="8" t="s">
        <v>22</v>
      </c>
      <c r="B27" s="13" t="n">
        <f aca="false">MAX(0,B6-Assumptions!$B$31)*Assumptions!$B$30*12</f>
        <v>9.6</v>
      </c>
      <c r="C27" s="13" t="n">
        <f aca="false">MAX(0,C6-Assumptions!$B$31)*Assumptions!$B$30*12</f>
        <v>15.6</v>
      </c>
      <c r="D27" s="13" t="n">
        <f aca="false">MAX(0,D6-Assumptions!$B$31)*Assumptions!$B$30*12</f>
        <v>24.6</v>
      </c>
      <c r="E27" s="14" t="n">
        <f aca="false">SUM(B27:D27)</f>
        <v>49.8</v>
      </c>
      <c r="F27" s="2"/>
      <c r="G27" s="2"/>
      <c r="H27" s="2"/>
      <c r="I27" s="2"/>
    </row>
    <row r="28" customFormat="false" ht="15" hidden="false" customHeight="false" outlineLevel="0" collapsed="false">
      <c r="A28" s="8" t="s">
        <v>23</v>
      </c>
      <c r="B28" s="13" t="n">
        <f aca="false">Assumptions!$B$32*12</f>
        <v>0</v>
      </c>
      <c r="C28" s="13" t="n">
        <f aca="false">Assumptions!$B$32*12</f>
        <v>0</v>
      </c>
      <c r="D28" s="13" t="n">
        <f aca="false">Assumptions!$B$32*12</f>
        <v>0</v>
      </c>
      <c r="E28" s="14" t="n">
        <f aca="false">SUM(B28:D28)</f>
        <v>0</v>
      </c>
      <c r="F28" s="2"/>
      <c r="G28" s="2"/>
      <c r="H28" s="2"/>
      <c r="I28" s="2"/>
    </row>
    <row r="29" customFormat="false" ht="15" hidden="false" customHeight="false" outlineLevel="0" collapsed="false">
      <c r="A29" s="5" t="s">
        <v>33</v>
      </c>
      <c r="B29" s="14" t="n">
        <f aca="false">SUM(B26:B28)</f>
        <v>381.37734375</v>
      </c>
      <c r="C29" s="14" t="n">
        <f aca="false">SUM(C26:C28)</f>
        <v>610.766015625</v>
      </c>
      <c r="D29" s="14" t="n">
        <f aca="false">SUM(D26:D28)</f>
        <v>954.8490234375</v>
      </c>
      <c r="E29" s="14" t="n">
        <f aca="false">SUM(B29:D29)</f>
        <v>1946.9923828125</v>
      </c>
      <c r="F29" s="2"/>
      <c r="G29" s="2"/>
      <c r="H29" s="2"/>
      <c r="I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</row>
    <row r="31" customFormat="false" ht="15" hidden="false" customHeight="false" outlineLevel="0" collapsed="false">
      <c r="A31" s="6" t="s">
        <v>34</v>
      </c>
      <c r="B31" s="7"/>
      <c r="C31" s="7"/>
      <c r="D31" s="7"/>
      <c r="E31" s="7"/>
      <c r="F31" s="2"/>
      <c r="G31" s="2"/>
      <c r="H31" s="2"/>
      <c r="I31" s="2"/>
    </row>
    <row r="32" customFormat="false" ht="15" hidden="false" customHeight="false" outlineLevel="0" collapsed="false">
      <c r="A32" s="8" t="s">
        <v>26</v>
      </c>
      <c r="B32" s="13" t="n">
        <f aca="false">(Assumptions!$B$37+Assumptions!$B$33)*Assumptions!$B$5</f>
        <v>5520</v>
      </c>
      <c r="C32" s="13" t="n">
        <f aca="false">0</f>
        <v>0</v>
      </c>
      <c r="D32" s="13" t="n">
        <f aca="false">0</f>
        <v>0</v>
      </c>
      <c r="E32" s="14" t="n">
        <f aca="false">SUM(B32:D32)</f>
        <v>5520</v>
      </c>
      <c r="F32" s="2"/>
      <c r="G32" s="2"/>
      <c r="H32" s="2"/>
      <c r="I32" s="2"/>
    </row>
    <row r="33" customFormat="false" ht="15" hidden="false" customHeight="false" outlineLevel="0" collapsed="false">
      <c r="A33" s="8" t="s">
        <v>27</v>
      </c>
      <c r="B33" s="13" t="n">
        <f aca="false">Assumptions!$B$6*Assumptions!$B$34*Assumptions!$B$5</f>
        <v>1800</v>
      </c>
      <c r="C33" s="13" t="n">
        <f aca="false">0</f>
        <v>0</v>
      </c>
      <c r="D33" s="13" t="n">
        <f aca="false">0</f>
        <v>0</v>
      </c>
      <c r="E33" s="14" t="n">
        <f aca="false">SUM(B33:D33)</f>
        <v>1800</v>
      </c>
      <c r="F33" s="2"/>
      <c r="G33" s="2"/>
      <c r="H33" s="2"/>
      <c r="I33" s="2"/>
    </row>
    <row r="34" customFormat="false" ht="15" hidden="false" customHeight="false" outlineLevel="0" collapsed="false">
      <c r="A34" s="8" t="s">
        <v>28</v>
      </c>
      <c r="B34" s="13" t="n">
        <f aca="false">Assumptions!$B$35*12*Assumptions!$B$5</f>
        <v>2880</v>
      </c>
      <c r="C34" s="13" t="n">
        <f aca="false">Assumptions!$B$35*12*Assumptions!$B$5</f>
        <v>2880</v>
      </c>
      <c r="D34" s="13" t="n">
        <f aca="false">Assumptions!$B$35*12*Assumptions!$B$5</f>
        <v>2880</v>
      </c>
      <c r="E34" s="14" t="n">
        <f aca="false">SUM(B34:D34)</f>
        <v>8640</v>
      </c>
      <c r="F34" s="2"/>
      <c r="G34" s="2"/>
      <c r="H34" s="2"/>
      <c r="I34" s="2"/>
    </row>
    <row r="35" customFormat="false" ht="15" hidden="false" customHeight="false" outlineLevel="0" collapsed="false">
      <c r="A35" s="15" t="s">
        <v>35</v>
      </c>
      <c r="B35" s="16" t="n">
        <f aca="false">B29+SUM(B32:B34)</f>
        <v>10581.37734375</v>
      </c>
      <c r="C35" s="16" t="n">
        <f aca="false">C29+SUM(C32:C34)</f>
        <v>3490.766015625</v>
      </c>
      <c r="D35" s="16" t="n">
        <f aca="false">D29+SUM(D32:D34)</f>
        <v>3834.8490234375</v>
      </c>
      <c r="E35" s="16" t="n">
        <f aca="false">SUM(B35:D35)</f>
        <v>17906.9923828125</v>
      </c>
      <c r="F35" s="2"/>
      <c r="G35" s="2"/>
      <c r="H35" s="2"/>
      <c r="I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</row>
    <row r="37" customFormat="false" ht="15" hidden="false" customHeight="false" outlineLevel="0" collapsed="false">
      <c r="A37" s="6" t="s">
        <v>36</v>
      </c>
      <c r="B37" s="7"/>
      <c r="C37" s="7"/>
      <c r="D37" s="7"/>
      <c r="E37" s="7"/>
      <c r="F37" s="2"/>
      <c r="G37" s="2"/>
      <c r="H37" s="2"/>
      <c r="I37" s="2"/>
    </row>
    <row r="38" customFormat="false" ht="15" hidden="false" customHeight="false" outlineLevel="0" collapsed="false">
      <c r="A38" s="8" t="s">
        <v>37</v>
      </c>
      <c r="B38" s="13" t="n">
        <f aca="false">B21-B35</f>
        <v>242.06015625</v>
      </c>
      <c r="C38" s="13" t="n">
        <f aca="false">C21-C35</f>
        <v>867.390234375</v>
      </c>
      <c r="D38" s="13" t="n">
        <f aca="false">D21-D35</f>
        <v>844.6353515625</v>
      </c>
      <c r="E38" s="14" t="n">
        <f aca="false">SUM(B38:D38)</f>
        <v>1954.0857421875</v>
      </c>
      <c r="F38" s="2"/>
      <c r="G38" s="2"/>
      <c r="H38" s="2"/>
      <c r="I38" s="2"/>
    </row>
    <row r="39" customFormat="false" ht="15" hidden="false" customHeight="false" outlineLevel="0" collapsed="false">
      <c r="A39" s="8" t="s">
        <v>38</v>
      </c>
      <c r="B39" s="2"/>
      <c r="C39" s="2"/>
      <c r="D39" s="2"/>
      <c r="E39" s="18" t="n">
        <f aca="false">IF(E35=0,0,E38/E35)</f>
        <v>0.109124173418596</v>
      </c>
      <c r="F39" s="2"/>
      <c r="G39" s="2"/>
      <c r="H39" s="2"/>
      <c r="I39" s="2"/>
    </row>
    <row r="40" customFormat="false" ht="15" hidden="false" customHeight="false" outlineLevel="0" collapsed="false">
      <c r="A40" s="8" t="s">
        <v>39</v>
      </c>
      <c r="B40" s="2"/>
      <c r="C40" s="2"/>
      <c r="D40" s="2"/>
      <c r="E40" s="5" t="str">
        <f aca="false">IF(ABS(E39)&lt;0.2,"YES – cost does not decide; non-cost criteria decide","NO – cost decides")</f>
        <v>YES – cost does not decide; non-cost criteria decide</v>
      </c>
      <c r="F40" s="2"/>
      <c r="G40" s="2"/>
      <c r="H40" s="2"/>
      <c r="I40" s="2"/>
    </row>
    <row r="41" customFormat="false" ht="15" hidden="false" customHeight="false" outlineLevel="0" collapsed="false">
      <c r="A41" s="8" t="s">
        <v>40</v>
      </c>
      <c r="B41" s="2"/>
      <c r="C41" s="2"/>
      <c r="D41" s="2"/>
      <c r="E41" s="5" t="str">
        <f aca="false">IF(MAX(E21,E35)&lt;=Assumptions!$B$38,"Both within budget","Check budget")</f>
        <v>Both within budget</v>
      </c>
      <c r="F41" s="2"/>
      <c r="G41" s="2"/>
      <c r="H41" s="2"/>
      <c r="I41" s="2"/>
    </row>
    <row r="42" customFormat="false" ht="15" hidden="false" customHeight="false" outlineLevel="0" collapsed="false">
      <c r="A42" s="8" t="s">
        <v>41</v>
      </c>
      <c r="B42" s="2"/>
      <c r="C42" s="2"/>
      <c r="D42" s="2"/>
      <c r="E42" s="19" t="n">
        <f aca="false">IF(E21=0,0,SUM(E18:E20)/E21)</f>
        <v>0.77337191381699</v>
      </c>
      <c r="F42" s="2"/>
      <c r="G42" s="2"/>
      <c r="H42" s="2"/>
      <c r="I42" s="2"/>
    </row>
    <row r="43" customFormat="false" ht="15" hidden="false" customHeight="false" outlineLevel="0" collapsed="false">
      <c r="A43" s="8" t="s">
        <v>42</v>
      </c>
      <c r="B43" s="2"/>
      <c r="C43" s="2"/>
      <c r="D43" s="2"/>
      <c r="E43" s="19" t="n">
        <f aca="false">IF(E35=0,0,SUM(E32:E34)/E35)</f>
        <v>0.891271948901857</v>
      </c>
      <c r="F43" s="2"/>
      <c r="G43" s="2"/>
      <c r="H43" s="2"/>
      <c r="I4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43</v>
      </c>
      <c r="B1" s="2"/>
      <c r="C1" s="2"/>
      <c r="D1" s="2"/>
    </row>
    <row r="2" customFormat="false" ht="15" hidden="false" customHeight="false" outlineLevel="0" collapsed="false">
      <c r="A2" s="3" t="s">
        <v>44</v>
      </c>
      <c r="B2" s="2"/>
      <c r="C2" s="2"/>
      <c r="D2" s="2"/>
    </row>
    <row r="3" customFormat="false" ht="15" hidden="false" customHeight="false" outlineLevel="0" collapsed="false">
      <c r="A3" s="4" t="s">
        <v>45</v>
      </c>
      <c r="B3" s="4" t="s">
        <v>46</v>
      </c>
      <c r="C3" s="4" t="s">
        <v>47</v>
      </c>
      <c r="D3" s="4" t="s">
        <v>48</v>
      </c>
    </row>
    <row r="4" customFormat="false" ht="15" hidden="false" customHeight="false" outlineLevel="0" collapsed="false">
      <c r="A4" s="6" t="s">
        <v>49</v>
      </c>
      <c r="B4" s="7"/>
      <c r="C4" s="7"/>
      <c r="D4" s="7"/>
    </row>
    <row r="5" customFormat="false" ht="15" hidden="false" customHeight="false" outlineLevel="0" collapsed="false">
      <c r="A5" s="8" t="s">
        <v>50</v>
      </c>
      <c r="B5" s="20" t="n">
        <v>60</v>
      </c>
      <c r="C5" s="8" t="s">
        <v>51</v>
      </c>
      <c r="D5" s="21" t="s">
        <v>52</v>
      </c>
    </row>
    <row r="6" customFormat="false" ht="15" hidden="false" customHeight="false" outlineLevel="0" collapsed="false">
      <c r="A6" s="8" t="s">
        <v>53</v>
      </c>
      <c r="B6" s="22" t="n">
        <v>3</v>
      </c>
      <c r="C6" s="8" t="s">
        <v>54</v>
      </c>
      <c r="D6" s="21" t="s">
        <v>55</v>
      </c>
    </row>
    <row r="7" customFormat="false" ht="15" hidden="false" customHeight="false" outlineLevel="0" collapsed="false">
      <c r="A7" s="8" t="s">
        <v>56</v>
      </c>
      <c r="B7" s="23" t="n">
        <v>50</v>
      </c>
      <c r="C7" s="8" t="s">
        <v>57</v>
      </c>
      <c r="D7" s="21" t="s">
        <v>58</v>
      </c>
    </row>
    <row r="8" customFormat="false" ht="15" hidden="false" customHeight="false" outlineLevel="0" collapsed="false">
      <c r="A8" s="8" t="s">
        <v>59</v>
      </c>
      <c r="B8" s="24" t="n">
        <v>0.5</v>
      </c>
      <c r="C8" s="8" t="s">
        <v>60</v>
      </c>
      <c r="D8" s="21" t="s">
        <v>61</v>
      </c>
    </row>
    <row r="9" customFormat="false" ht="15" hidden="false" customHeight="false" outlineLevel="0" collapsed="false">
      <c r="A9" s="8" t="s">
        <v>62</v>
      </c>
      <c r="B9" s="22" t="n">
        <v>360</v>
      </c>
      <c r="C9" s="8" t="s">
        <v>63</v>
      </c>
      <c r="D9" s="21" t="s">
        <v>64</v>
      </c>
    </row>
    <row r="10" customFormat="false" ht="15" hidden="false" customHeight="false" outlineLevel="0" collapsed="false">
      <c r="A10" s="8" t="s">
        <v>65</v>
      </c>
      <c r="B10" s="22" t="n">
        <v>200</v>
      </c>
      <c r="C10" s="8" t="s">
        <v>66</v>
      </c>
      <c r="D10" s="21" t="s">
        <v>55</v>
      </c>
    </row>
    <row r="11" customFormat="false" ht="15" hidden="false" customHeight="false" outlineLevel="0" collapsed="false">
      <c r="A11" s="8" t="s">
        <v>67</v>
      </c>
      <c r="B11" s="22" t="n">
        <v>30</v>
      </c>
      <c r="C11" s="8" t="s">
        <v>68</v>
      </c>
      <c r="D11" s="21" t="s">
        <v>69</v>
      </c>
    </row>
    <row r="12" customFormat="false" ht="15" hidden="false" customHeight="false" outlineLevel="0" collapsed="false">
      <c r="A12" s="6" t="s">
        <v>10</v>
      </c>
      <c r="B12" s="7"/>
      <c r="C12" s="7"/>
      <c r="D12" s="7"/>
    </row>
    <row r="13" customFormat="false" ht="15" hidden="false" customHeight="false" outlineLevel="0" collapsed="false">
      <c r="A13" s="8" t="s">
        <v>70</v>
      </c>
      <c r="B13" s="20" t="n">
        <v>3</v>
      </c>
      <c r="C13" s="8" t="s">
        <v>71</v>
      </c>
      <c r="D13" s="21" t="s">
        <v>72</v>
      </c>
    </row>
    <row r="14" customFormat="false" ht="15" hidden="false" customHeight="false" outlineLevel="0" collapsed="false">
      <c r="A14" s="8" t="s">
        <v>73</v>
      </c>
      <c r="B14" s="22" t="n">
        <v>1</v>
      </c>
      <c r="C14" s="8" t="s">
        <v>74</v>
      </c>
      <c r="D14" s="21" t="s">
        <v>75</v>
      </c>
    </row>
    <row r="15" customFormat="false" ht="15" hidden="false" customHeight="false" outlineLevel="0" collapsed="false">
      <c r="A15" s="8" t="s">
        <v>76</v>
      </c>
      <c r="B15" s="22" t="n">
        <v>1</v>
      </c>
      <c r="C15" s="8" t="s">
        <v>77</v>
      </c>
      <c r="D15" s="21" t="s">
        <v>78</v>
      </c>
    </row>
    <row r="16" customFormat="false" ht="15" hidden="false" customHeight="false" outlineLevel="0" collapsed="false">
      <c r="A16" s="8" t="s">
        <v>79</v>
      </c>
      <c r="B16" s="22" t="n">
        <v>1</v>
      </c>
      <c r="C16" s="8" t="s">
        <v>77</v>
      </c>
      <c r="D16" s="21" t="s">
        <v>80</v>
      </c>
    </row>
    <row r="17" customFormat="false" ht="15" hidden="false" customHeight="false" outlineLevel="0" collapsed="false">
      <c r="A17" s="8" t="s">
        <v>81</v>
      </c>
      <c r="B17" s="22" t="n">
        <v>3</v>
      </c>
      <c r="C17" s="8" t="s">
        <v>77</v>
      </c>
      <c r="D17" s="21" t="s">
        <v>82</v>
      </c>
    </row>
    <row r="18" customFormat="false" ht="15" hidden="false" customHeight="false" outlineLevel="0" collapsed="false">
      <c r="A18" s="8" t="s">
        <v>83</v>
      </c>
      <c r="B18" s="22" t="n">
        <v>10</v>
      </c>
      <c r="C18" s="8" t="s">
        <v>77</v>
      </c>
      <c r="D18" s="21" t="s">
        <v>84</v>
      </c>
    </row>
    <row r="19" customFormat="false" ht="15" hidden="false" customHeight="false" outlineLevel="0" collapsed="false">
      <c r="A19" s="8" t="s">
        <v>85</v>
      </c>
      <c r="B19" s="22" t="n">
        <v>0.5</v>
      </c>
      <c r="C19" s="8" t="s">
        <v>86</v>
      </c>
      <c r="D19" s="21" t="s">
        <v>87</v>
      </c>
    </row>
    <row r="20" customFormat="false" ht="15" hidden="false" customHeight="false" outlineLevel="0" collapsed="false">
      <c r="A20" s="8" t="s">
        <v>88</v>
      </c>
      <c r="B20" s="25" t="n">
        <v>40</v>
      </c>
      <c r="C20" s="8" t="s">
        <v>89</v>
      </c>
      <c r="D20" s="21" t="s">
        <v>90</v>
      </c>
    </row>
    <row r="21" customFormat="false" ht="15" hidden="false" customHeight="false" outlineLevel="0" collapsed="false">
      <c r="A21" s="8" t="s">
        <v>91</v>
      </c>
      <c r="B21" s="25" t="n">
        <v>19</v>
      </c>
      <c r="C21" s="8" t="s">
        <v>92</v>
      </c>
      <c r="D21" s="21" t="s">
        <v>93</v>
      </c>
    </row>
    <row r="22" customFormat="false" ht="15" hidden="false" customHeight="false" outlineLevel="0" collapsed="false">
      <c r="A22" s="8" t="s">
        <v>94</v>
      </c>
      <c r="B22" s="22" t="n">
        <v>8</v>
      </c>
      <c r="C22" s="8" t="s">
        <v>95</v>
      </c>
      <c r="D22" s="21" t="s">
        <v>96</v>
      </c>
    </row>
    <row r="23" customFormat="false" ht="15" hidden="false" customHeight="false" outlineLevel="0" collapsed="false">
      <c r="A23" s="8" t="s">
        <v>97</v>
      </c>
      <c r="B23" s="22" t="n">
        <v>8</v>
      </c>
      <c r="C23" s="8" t="s">
        <v>95</v>
      </c>
      <c r="D23" s="21" t="s">
        <v>98</v>
      </c>
    </row>
    <row r="24" customFormat="false" ht="15" hidden="false" customHeight="false" outlineLevel="0" collapsed="false">
      <c r="A24" s="8" t="s">
        <v>99</v>
      </c>
      <c r="B24" s="22" t="n">
        <v>4</v>
      </c>
      <c r="C24" s="8" t="s">
        <v>95</v>
      </c>
      <c r="D24" s="21" t="s">
        <v>100</v>
      </c>
    </row>
    <row r="25" customFormat="false" ht="15" hidden="false" customHeight="false" outlineLevel="0" collapsed="false">
      <c r="A25" s="6" t="s">
        <v>101</v>
      </c>
      <c r="B25" s="7"/>
      <c r="C25" s="7"/>
      <c r="D25" s="7"/>
    </row>
    <row r="26" customFormat="false" ht="15" hidden="false" customHeight="false" outlineLevel="0" collapsed="false">
      <c r="A26" s="8" t="s">
        <v>102</v>
      </c>
      <c r="B26" s="25" t="n">
        <v>6.25</v>
      </c>
      <c r="C26" s="8" t="s">
        <v>103</v>
      </c>
      <c r="D26" s="21" t="s">
        <v>104</v>
      </c>
    </row>
    <row r="27" customFormat="false" ht="15" hidden="false" customHeight="false" outlineLevel="0" collapsed="false">
      <c r="A27" s="8" t="s">
        <v>105</v>
      </c>
      <c r="B27" s="22" t="n">
        <v>1</v>
      </c>
      <c r="C27" s="8" t="s">
        <v>106</v>
      </c>
      <c r="D27" s="21" t="s">
        <v>104</v>
      </c>
    </row>
    <row r="28" customFormat="false" ht="15" hidden="false" customHeight="false" outlineLevel="0" collapsed="false">
      <c r="A28" s="8" t="s">
        <v>107</v>
      </c>
      <c r="B28" s="24" t="n">
        <v>0.2</v>
      </c>
      <c r="C28" s="8" t="s">
        <v>108</v>
      </c>
      <c r="D28" s="21" t="s">
        <v>109</v>
      </c>
    </row>
    <row r="29" customFormat="false" ht="15" hidden="false" customHeight="false" outlineLevel="0" collapsed="false">
      <c r="A29" s="8" t="s">
        <v>110</v>
      </c>
      <c r="B29" s="24" t="n">
        <v>0.25</v>
      </c>
      <c r="C29" s="8" t="s">
        <v>108</v>
      </c>
      <c r="D29" s="21" t="s">
        <v>84</v>
      </c>
    </row>
    <row r="30" customFormat="false" ht="15" hidden="false" customHeight="false" outlineLevel="0" collapsed="false">
      <c r="A30" s="8" t="s">
        <v>111</v>
      </c>
      <c r="B30" s="25" t="n">
        <v>0.02</v>
      </c>
      <c r="C30" s="8" t="s">
        <v>112</v>
      </c>
      <c r="D30" s="21" t="s">
        <v>113</v>
      </c>
    </row>
    <row r="31" customFormat="false" ht="15" hidden="false" customHeight="false" outlineLevel="0" collapsed="false">
      <c r="A31" s="8" t="s">
        <v>114</v>
      </c>
      <c r="B31" s="22" t="n">
        <v>10</v>
      </c>
      <c r="C31" s="8" t="s">
        <v>115</v>
      </c>
      <c r="D31" s="21" t="s">
        <v>116</v>
      </c>
    </row>
    <row r="32" customFormat="false" ht="15" hidden="false" customHeight="false" outlineLevel="0" collapsed="false">
      <c r="A32" s="8" t="s">
        <v>117</v>
      </c>
      <c r="B32" s="25" t="n">
        <v>0</v>
      </c>
      <c r="C32" s="8" t="s">
        <v>92</v>
      </c>
      <c r="D32" s="21" t="s">
        <v>118</v>
      </c>
    </row>
    <row r="33" customFormat="false" ht="15" hidden="false" customHeight="false" outlineLevel="0" collapsed="false">
      <c r="A33" s="8" t="s">
        <v>94</v>
      </c>
      <c r="B33" s="22" t="n">
        <v>12</v>
      </c>
      <c r="C33" s="8" t="s">
        <v>95</v>
      </c>
      <c r="D33" s="21" t="s">
        <v>119</v>
      </c>
    </row>
    <row r="34" customFormat="false" ht="15" hidden="false" customHeight="false" outlineLevel="0" collapsed="false">
      <c r="A34" s="8" t="s">
        <v>97</v>
      </c>
      <c r="B34" s="22" t="n">
        <v>10</v>
      </c>
      <c r="C34" s="8" t="s">
        <v>95</v>
      </c>
      <c r="D34" s="21" t="s">
        <v>120</v>
      </c>
    </row>
    <row r="35" customFormat="false" ht="15" hidden="false" customHeight="false" outlineLevel="0" collapsed="false">
      <c r="A35" s="8" t="s">
        <v>99</v>
      </c>
      <c r="B35" s="22" t="n">
        <v>4</v>
      </c>
      <c r="C35" s="8" t="s">
        <v>95</v>
      </c>
      <c r="D35" s="21" t="s">
        <v>121</v>
      </c>
    </row>
    <row r="36" customFormat="false" ht="15" hidden="false" customHeight="false" outlineLevel="0" collapsed="false">
      <c r="A36" s="6" t="s">
        <v>122</v>
      </c>
      <c r="B36" s="7"/>
      <c r="C36" s="7"/>
      <c r="D36" s="7"/>
    </row>
    <row r="37" customFormat="false" ht="15" hidden="false" customHeight="false" outlineLevel="0" collapsed="false">
      <c r="A37" s="8" t="s">
        <v>123</v>
      </c>
      <c r="B37" s="23" t="n">
        <v>80</v>
      </c>
      <c r="C37" s="8" t="s">
        <v>95</v>
      </c>
      <c r="D37" s="21" t="s">
        <v>124</v>
      </c>
    </row>
    <row r="38" customFormat="false" ht="15" hidden="false" customHeight="false" outlineLevel="0" collapsed="false">
      <c r="A38" s="8" t="s">
        <v>125</v>
      </c>
      <c r="B38" s="26" t="n">
        <v>150000</v>
      </c>
      <c r="C38" s="8" t="s">
        <v>126</v>
      </c>
      <c r="D38" s="21" t="s">
        <v>55</v>
      </c>
    </row>
    <row r="39" customFormat="false" ht="15" hidden="false" customHeight="false" outlineLevel="0" collapsed="false">
      <c r="A39" s="6" t="s">
        <v>127</v>
      </c>
      <c r="B39" s="7"/>
      <c r="C39" s="7"/>
      <c r="D39" s="7"/>
    </row>
    <row r="40" customFormat="false" ht="15" hidden="false" customHeight="false" outlineLevel="0" collapsed="false">
      <c r="A40" s="8" t="s">
        <v>128</v>
      </c>
      <c r="B40" s="22" t="n">
        <v>8</v>
      </c>
      <c r="C40" s="8" t="s">
        <v>95</v>
      </c>
      <c r="D40" s="21" t="s">
        <v>129</v>
      </c>
    </row>
    <row r="41" customFormat="false" ht="15" hidden="false" customHeight="false" outlineLevel="0" collapsed="false">
      <c r="A41" s="8" t="s">
        <v>130</v>
      </c>
      <c r="B41" s="22" t="n">
        <v>48</v>
      </c>
      <c r="C41" s="8" t="s">
        <v>131</v>
      </c>
      <c r="D41" s="21" t="s">
        <v>84</v>
      </c>
    </row>
    <row r="42" customFormat="false" ht="15" hidden="false" customHeight="false" outlineLevel="0" collapsed="false">
      <c r="A42" s="8" t="s">
        <v>132</v>
      </c>
      <c r="B42" s="26" t="n">
        <v>485956000</v>
      </c>
      <c r="C42" s="8" t="s">
        <v>126</v>
      </c>
      <c r="D42" s="21" t="s">
        <v>133</v>
      </c>
    </row>
    <row r="43" customFormat="false" ht="15" hidden="false" customHeight="false" outlineLevel="0" collapsed="false">
      <c r="A43" s="8" t="s">
        <v>134</v>
      </c>
      <c r="B43" s="27" t="n">
        <v>0.0002</v>
      </c>
      <c r="C43" s="8" t="s">
        <v>135</v>
      </c>
      <c r="D43" s="21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34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137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138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4" t="s">
        <v>139</v>
      </c>
      <c r="B4" s="4" t="s">
        <v>140</v>
      </c>
      <c r="C4" s="4" t="s">
        <v>141</v>
      </c>
      <c r="D4" s="4" t="s">
        <v>142</v>
      </c>
      <c r="E4" s="4" t="s">
        <v>143</v>
      </c>
      <c r="F4" s="4" t="s">
        <v>46</v>
      </c>
    </row>
    <row r="5" customFormat="false" ht="15" hidden="false" customHeight="false" outlineLevel="0" collapsed="false">
      <c r="A5" s="2" t="s">
        <v>144</v>
      </c>
      <c r="B5" s="2" t="s">
        <v>145</v>
      </c>
      <c r="C5" s="10" t="n">
        <f aca="false">TCO_3yr!B15</f>
        <v>1223.4375</v>
      </c>
      <c r="D5" s="10" t="n">
        <f aca="false">TCO_3yr!B29</f>
        <v>381.37734375</v>
      </c>
      <c r="E5" s="2" t="s">
        <v>146</v>
      </c>
      <c r="F5" s="22" t="n">
        <v>10</v>
      </c>
    </row>
    <row r="6" customFormat="false" ht="15" hidden="false" customHeight="false" outlineLevel="0" collapsed="false">
      <c r="A6" s="2" t="s">
        <v>147</v>
      </c>
      <c r="B6" s="2" t="s">
        <v>148</v>
      </c>
      <c r="C6" s="10" t="n">
        <f aca="false">((Assumptions!$B$9*(Assumptions!$B$15+F5))+(Assumptions!$B$10*Assumptions!$B$17)+(Assumptions!$B$11*Assumptions!$B$18))/60*Assumptions!$B$14*12*Assumptions!$B$13+TCO_3yr!B13+TCO_3yr!B14</f>
        <v>3167.4375</v>
      </c>
      <c r="D6" s="10" t="n">
        <f aca="false">MAX(0,(Assumptions!$B$9+Assumptions!$B$10)*F6*TCO_3yr!B6/1024-Assumptions!$B$27)*Assumptions!$B$26*12+TCO_3yr!B27+TCO_3yr!B28</f>
        <v>1985.38125</v>
      </c>
      <c r="E6" s="2" t="s">
        <v>149</v>
      </c>
      <c r="F6" s="28" t="n">
        <v>1</v>
      </c>
    </row>
    <row r="7" customFormat="false" ht="15" hidden="false" customHeight="false" outlineLevel="0" collapsed="false">
      <c r="A7" s="2" t="s">
        <v>150</v>
      </c>
      <c r="B7" s="2"/>
      <c r="C7" s="29" t="n">
        <f aca="false">IF(C5=0,0,C6/C5)</f>
        <v>2.58896551724138</v>
      </c>
      <c r="D7" s="29" t="n">
        <f aca="false">IF(D5=0,0,D6/D5)</f>
        <v>5.20581854831276</v>
      </c>
      <c r="E7" s="2"/>
      <c r="F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</row>
    <row r="9" customFormat="false" ht="15" hidden="false" customHeight="false" outlineLevel="0" collapsed="false">
      <c r="A9" s="5" t="s">
        <v>151</v>
      </c>
      <c r="B9" s="2"/>
      <c r="C9" s="2" t="s">
        <v>152</v>
      </c>
      <c r="D9" s="2" t="s">
        <v>153</v>
      </c>
      <c r="E9" s="2"/>
      <c r="F9" s="2"/>
    </row>
    <row r="10" customFormat="false" ht="15" hidden="false" customHeight="false" outlineLevel="0" collapsed="false">
      <c r="A10" s="5" t="s">
        <v>154</v>
      </c>
      <c r="B10" s="2"/>
      <c r="C10" s="2" t="s">
        <v>155</v>
      </c>
      <c r="D10" s="2"/>
      <c r="E10" s="2"/>
      <c r="F1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156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4" t="s">
        <v>157</v>
      </c>
      <c r="B3" s="4" t="s">
        <v>158</v>
      </c>
    </row>
    <row r="4" customFormat="false" ht="15" hidden="false" customHeight="false" outlineLevel="0" collapsed="false">
      <c r="A4" s="2" t="s">
        <v>159</v>
      </c>
      <c r="B4" s="10" t="n">
        <f aca="false">Assumptions!$B$6*Assumptions!$B$40*Assumptions!$B$41*Assumptions!$B$5</f>
        <v>69120</v>
      </c>
    </row>
    <row r="5" customFormat="false" ht="15" hidden="false" customHeight="false" outlineLevel="0" collapsed="false">
      <c r="A5" s="2" t="s">
        <v>160</v>
      </c>
      <c r="B5" s="10" t="n">
        <f aca="false">Assumptions!$B$42*Assumptions!$B$43</f>
        <v>97191.2</v>
      </c>
    </row>
    <row r="6" customFormat="false" ht="15" hidden="false" customHeight="false" outlineLevel="0" collapsed="false">
      <c r="A6" s="5" t="s">
        <v>161</v>
      </c>
      <c r="B6" s="14" t="n">
        <f aca="false">B4+B5</f>
        <v>166311.2</v>
      </c>
    </row>
    <row r="7" customFormat="false" ht="15" hidden="false" customHeight="false" outlineLevel="0" collapsed="false">
      <c r="A7" s="5" t="s">
        <v>162</v>
      </c>
      <c r="B7" s="14" t="n">
        <f aca="false">B6*3</f>
        <v>498933.6</v>
      </c>
    </row>
    <row r="8" customFormat="false" ht="15" hidden="false" customHeight="false" outlineLevel="0" collapsed="false">
      <c r="A8" s="2"/>
      <c r="B8" s="2"/>
    </row>
    <row r="9" customFormat="false" ht="15" hidden="false" customHeight="false" outlineLevel="0" collapsed="false">
      <c r="A9" s="2" t="s">
        <v>163</v>
      </c>
      <c r="B9" s="30" t="n">
        <f aca="false">IF(TCO_3yr!E21=0,0,(B7-TCO_3yr!E21)/TCO_3yr!E21)</f>
        <v>24.1211740299219</v>
      </c>
    </row>
    <row r="10" customFormat="false" ht="15" hidden="false" customHeight="false" outlineLevel="0" collapsed="false">
      <c r="A10" s="2" t="s">
        <v>164</v>
      </c>
      <c r="B10" s="30" t="n">
        <f aca="false">IF(TCO_3yr!E35=0,0,(B7-TCO_3yr!E35)/TCO_3yr!E35)</f>
        <v>26.8625013812418</v>
      </c>
    </row>
    <row r="11" customFormat="false" ht="15" hidden="false" customHeight="false" outlineLevel="0" collapsed="false">
      <c r="A11" s="2" t="s">
        <v>165</v>
      </c>
      <c r="B11" s="31" t="n">
        <f aca="false">IF(B6=0,0,TCO_3yr!E21/B6*12)</f>
        <v>1.43305404266219</v>
      </c>
    </row>
    <row r="12" customFormat="false" ht="15" hidden="false" customHeight="false" outlineLevel="0" collapsed="false">
      <c r="A12" s="2" t="s">
        <v>166</v>
      </c>
      <c r="B12" s="31" t="n">
        <f aca="false">IF(B6=0,0,TCO_3yr!E35/B6*12)</f>
        <v>1.29205915532899</v>
      </c>
    </row>
    <row r="13" customFormat="false" ht="15" hidden="false" customHeight="false" outlineLevel="0" collapsed="false">
      <c r="A13" s="2"/>
      <c r="B13" s="2"/>
    </row>
    <row r="14" customFormat="false" ht="15" hidden="false" customHeight="false" outlineLevel="0" collapsed="false">
      <c r="A14" s="3" t="s">
        <v>167</v>
      </c>
      <c r="B1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3" min="3" style="0" width="42"/>
    <col collapsed="false" customWidth="true" hidden="false" outlineLevel="0" max="5" min="4" style="0" width="11"/>
    <col collapsed="false" customWidth="true" hidden="false" outlineLevel="0" max="6" min="6" style="0" width="80"/>
  </cols>
  <sheetData>
    <row r="1" customFormat="false" ht="17.35" hidden="false" customHeight="false" outlineLevel="0" collapsed="false">
      <c r="A1" s="1" t="s">
        <v>168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4" t="s">
        <v>169</v>
      </c>
      <c r="B3" s="4" t="s">
        <v>170</v>
      </c>
      <c r="C3" s="4" t="s">
        <v>171</v>
      </c>
      <c r="D3" s="4" t="s">
        <v>10</v>
      </c>
      <c r="E3" s="4" t="s">
        <v>11</v>
      </c>
      <c r="F3" s="4" t="s">
        <v>172</v>
      </c>
    </row>
    <row r="4" customFormat="false" ht="15" hidden="false" customHeight="false" outlineLevel="0" collapsed="false">
      <c r="A4" s="8" t="s">
        <v>173</v>
      </c>
      <c r="B4" s="28" t="n">
        <v>0.3</v>
      </c>
      <c r="C4" s="8" t="s">
        <v>174</v>
      </c>
      <c r="D4" s="22" t="n">
        <v>4</v>
      </c>
      <c r="E4" s="22" t="n">
        <v>5</v>
      </c>
      <c r="F4" s="8" t="s">
        <v>175</v>
      </c>
    </row>
    <row r="5" customFormat="false" ht="15" hidden="false" customHeight="false" outlineLevel="0" collapsed="false">
      <c r="A5" s="8" t="s">
        <v>176</v>
      </c>
      <c r="B5" s="28" t="n">
        <v>0.25</v>
      </c>
      <c r="C5" s="8" t="s">
        <v>177</v>
      </c>
      <c r="D5" s="22" t="n">
        <v>5</v>
      </c>
      <c r="E5" s="22" t="n">
        <v>5</v>
      </c>
      <c r="F5" s="8" t="s">
        <v>178</v>
      </c>
    </row>
    <row r="6" customFormat="false" ht="15" hidden="false" customHeight="false" outlineLevel="0" collapsed="false">
      <c r="A6" s="8" t="s">
        <v>179</v>
      </c>
      <c r="B6" s="28" t="n">
        <v>0.2</v>
      </c>
      <c r="C6" s="8" t="s">
        <v>180</v>
      </c>
      <c r="D6" s="22" t="n">
        <v>5</v>
      </c>
      <c r="E6" s="22" t="n">
        <v>4</v>
      </c>
      <c r="F6" s="8" t="s">
        <v>181</v>
      </c>
    </row>
    <row r="7" customFormat="false" ht="15" hidden="false" customHeight="false" outlineLevel="0" collapsed="false">
      <c r="A7" s="8" t="s">
        <v>182</v>
      </c>
      <c r="B7" s="28" t="n">
        <v>0.25</v>
      </c>
      <c r="C7" s="8" t="s">
        <v>183</v>
      </c>
      <c r="D7" s="22" t="n">
        <v>4</v>
      </c>
      <c r="E7" s="22" t="n">
        <v>4</v>
      </c>
      <c r="F7" s="8" t="s">
        <v>184</v>
      </c>
    </row>
    <row r="8" customFormat="false" ht="15" hidden="false" customHeight="false" outlineLevel="0" collapsed="false">
      <c r="A8" s="5" t="s">
        <v>185</v>
      </c>
      <c r="B8" s="30" t="n">
        <f aca="false">SUM(B4:B7)</f>
        <v>1</v>
      </c>
      <c r="C8" s="2"/>
      <c r="D8" s="32" t="n">
        <f aca="false">SUMPRODUCT($B$4:$B$7,D4:D7)</f>
        <v>4.45</v>
      </c>
      <c r="E8" s="32" t="n">
        <f aca="false">SUMPRODUCT($B$4:$B$7,E4:E7)</f>
        <v>4.55</v>
      </c>
      <c r="F8" s="2"/>
    </row>
    <row r="9" customFormat="false" ht="15" hidden="false" customHeight="false" outlineLevel="0" collapsed="false">
      <c r="A9" s="5" t="s">
        <v>186</v>
      </c>
      <c r="B9" s="2"/>
      <c r="C9" s="2"/>
      <c r="D9" s="32" t="n">
        <f aca="false">SUMPRODUCT($B$5:$B$7,D5:D7)</f>
        <v>3.25</v>
      </c>
      <c r="E9" s="32" t="n">
        <f aca="false">SUMPRODUCT($B$5:$B$7,E5:E7)</f>
        <v>3.05</v>
      </c>
      <c r="F9" s="2"/>
    </row>
    <row r="10" customFormat="false" ht="15" hidden="false" customHeight="false" outlineLevel="0" collapsed="false">
      <c r="A10" s="5" t="s">
        <v>187</v>
      </c>
      <c r="B10" s="2"/>
      <c r="C10" s="2"/>
      <c r="D10" s="33" t="str">
        <f aca="false">IF(TCO_3yr!E40="NO – cost decides",IF(D8&gt;=E8,"Snowflake","BigQuery"),IF(D9&gt;=E9,"Snowflake","BigQuery"))</f>
        <v>Snowflake</v>
      </c>
      <c r="E10" s="2"/>
      <c r="F1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188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4" t="s">
        <v>157</v>
      </c>
      <c r="B3" s="4" t="s">
        <v>46</v>
      </c>
      <c r="C3" s="4" t="s">
        <v>189</v>
      </c>
    </row>
    <row r="4" customFormat="false" ht="15" hidden="false" customHeight="false" outlineLevel="0" collapsed="false">
      <c r="A4" s="8" t="s">
        <v>190</v>
      </c>
      <c r="B4" s="34" t="n">
        <v>1735068</v>
      </c>
      <c r="C4" s="21" t="s">
        <v>191</v>
      </c>
    </row>
    <row r="5" customFormat="false" ht="15" hidden="false" customHeight="false" outlineLevel="0" collapsed="false">
      <c r="A5" s="8" t="s">
        <v>192</v>
      </c>
      <c r="B5" s="22" t="n">
        <v>102.9</v>
      </c>
      <c r="C5" s="21" t="s">
        <v>193</v>
      </c>
    </row>
    <row r="6" customFormat="false" ht="15" hidden="false" customHeight="false" outlineLevel="0" collapsed="false">
      <c r="A6" s="8" t="s">
        <v>194</v>
      </c>
      <c r="B6" s="22" t="n">
        <v>19</v>
      </c>
      <c r="C6" s="21" t="s">
        <v>195</v>
      </c>
    </row>
    <row r="7" customFormat="false" ht="15" hidden="false" customHeight="false" outlineLevel="0" collapsed="false">
      <c r="A7" s="8" t="s">
        <v>196</v>
      </c>
      <c r="B7" s="22" t="n">
        <v>0.0516</v>
      </c>
      <c r="C7" s="21" t="s">
        <v>197</v>
      </c>
    </row>
    <row r="8" customFormat="false" ht="15" hidden="false" customHeight="false" outlineLevel="0" collapsed="false">
      <c r="A8" s="8" t="s">
        <v>198</v>
      </c>
      <c r="B8" s="22" t="n">
        <v>0.5316</v>
      </c>
      <c r="C8" s="21" t="s">
        <v>197</v>
      </c>
    </row>
    <row r="9" customFormat="false" ht="15" hidden="false" customHeight="false" outlineLevel="0" collapsed="false">
      <c r="A9" s="8" t="s">
        <v>199</v>
      </c>
      <c r="B9" s="22" t="n">
        <v>0.0006</v>
      </c>
      <c r="C9" s="21" t="s">
        <v>197</v>
      </c>
    </row>
    <row r="10" customFormat="false" ht="15" hidden="false" customHeight="false" outlineLevel="0" collapsed="false">
      <c r="A10" s="8" t="s">
        <v>200</v>
      </c>
      <c r="B10" s="22" t="n">
        <v>1.33</v>
      </c>
      <c r="C10" s="21" t="s">
        <v>201</v>
      </c>
    </row>
    <row r="11" customFormat="false" ht="15" hidden="false" customHeight="false" outlineLevel="0" collapsed="false">
      <c r="A11" s="8" t="s">
        <v>202</v>
      </c>
      <c r="B11" s="22" t="n">
        <v>3.3</v>
      </c>
      <c r="C11" s="21" t="s">
        <v>201</v>
      </c>
    </row>
    <row r="12" customFormat="false" ht="15" hidden="false" customHeight="false" outlineLevel="0" collapsed="false">
      <c r="A12" s="8" t="s">
        <v>203</v>
      </c>
      <c r="B12" s="22" t="n">
        <v>2.5</v>
      </c>
      <c r="C12" s="21" t="s">
        <v>204</v>
      </c>
    </row>
    <row r="13" customFormat="false" ht="15" hidden="false" customHeight="false" outlineLevel="0" collapsed="false">
      <c r="A13" s="5" t="s">
        <v>205</v>
      </c>
      <c r="B13" s="35" t="n">
        <f aca="false">SUM(B7:B9)</f>
        <v>0.5838</v>
      </c>
      <c r="C13" s="2"/>
    </row>
    <row r="14" customFormat="false" ht="15" hidden="false" customHeight="false" outlineLevel="0" collapsed="false">
      <c r="A14" s="5" t="s">
        <v>206</v>
      </c>
      <c r="B14" s="36" t="n">
        <f aca="false">B13*Assumptions!$B$13</f>
        <v>1.7514</v>
      </c>
      <c r="C14" s="2"/>
    </row>
    <row r="15" customFormat="false" ht="15" hidden="false" customHeight="false" outlineLevel="0" collapsed="false">
      <c r="A15" s="5" t="s">
        <v>207</v>
      </c>
      <c r="B15" s="29" t="n">
        <f aca="false">IF(B6=0,0,B5/B6)</f>
        <v>5.41578947368421</v>
      </c>
      <c r="C15" s="2"/>
    </row>
    <row r="16" customFormat="false" ht="15" hidden="false" customHeight="false" outlineLevel="0" collapsed="false">
      <c r="A16" s="5" t="s">
        <v>208</v>
      </c>
      <c r="B16" s="37" t="n">
        <f aca="false">IF(B13=0,0,B8/B13)</f>
        <v>0.910585817060637</v>
      </c>
      <c r="C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2026-10-26T21:26:21Z</dcterms:created>
  <dc:creator>openpyxl</dc:creator>
  <dc:description/>
  <dc:language>en-US</dc:language>
  <cp:lastModifiedBy/>
  <dcterms:modified xsi:type="dcterms:W3CDTF">2026-10-26T21:26:31Z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